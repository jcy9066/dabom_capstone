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cy90\OneDrive\바탕 화면\"/>
    </mc:Choice>
  </mc:AlternateContent>
  <xr:revisionPtr revIDLastSave="0" documentId="13_ncr:1_{4F219FC0-69C6-4116-868C-E4872EDA9D7B}" xr6:coauthVersionLast="36" xr6:coauthVersionMax="47" xr10:uidLastSave="{00000000-0000-0000-0000-000000000000}"/>
  <bookViews>
    <workbookView xWindow="-20610" yWindow="22050" windowWidth="20730" windowHeight="11040" xr2:uid="{6DC6D7F8-872F-4A11-8A57-D6317DD87495}"/>
  </bookViews>
  <sheets>
    <sheet name="Sheet1" sheetId="1" r:id="rId1"/>
  </sheets>
  <definedNames>
    <definedName name="_xlnm.Print_Area" localSheetId="0">Sheet1!$A$1:$H$6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D6" i="1"/>
  <c r="C6" i="1"/>
  <c r="G6" i="1" l="1"/>
</calcChain>
</file>

<file path=xl/sharedStrings.xml><?xml version="1.0" encoding="utf-8"?>
<sst xmlns="http://schemas.openxmlformats.org/spreadsheetml/2006/main" count="19" uniqueCount="19">
  <si>
    <t>부품명</t>
  </si>
  <si>
    <t>수량(개)</t>
  </si>
  <si>
    <t>총액</t>
  </si>
  <si>
    <t>합계</t>
    <phoneticPr fontId="2" type="noConversion"/>
  </si>
  <si>
    <t>구매처</t>
    <phoneticPr fontId="2" type="noConversion"/>
  </si>
  <si>
    <t>부가세</t>
    <phoneticPr fontId="2" type="noConversion"/>
  </si>
  <si>
    <t>배송비</t>
    <phoneticPr fontId="2" type="noConversion"/>
  </si>
  <si>
    <t>번호</t>
    <phoneticPr fontId="2" type="noConversion"/>
  </si>
  <si>
    <t>객단가</t>
    <phoneticPr fontId="2" type="noConversion"/>
  </si>
  <si>
    <r>
      <t xml:space="preserve">"Autonomous AI Patrol Bot" 부품 구매 내역서
</t>
    </r>
    <r>
      <rPr>
        <sz val="10"/>
        <color theme="1"/>
        <rFont val="맑은 고딕"/>
        <family val="3"/>
        <charset val="129"/>
        <scheme val="minor"/>
      </rPr>
      <t>202121063 정창완, 202220998 박준영</t>
    </r>
    <phoneticPr fontId="2" type="noConversion"/>
  </si>
  <si>
    <t>디바이스마트</t>
    <phoneticPr fontId="2" type="noConversion"/>
  </si>
  <si>
    <t>쿠팡</t>
    <phoneticPr fontId="2" type="noConversion"/>
  </si>
  <si>
    <t>3M 전기 절연 테이프 19mm X 10m X 0.18mm X 10개, 1개</t>
    <phoneticPr fontId="2" type="noConversion"/>
  </si>
  <si>
    <t>[Raspberry Pi] 라즈베리파이 피코 H (Raspberry Pi Pico H)</t>
    <phoneticPr fontId="2" type="noConversion"/>
  </si>
  <si>
    <t>구룡비철 실납 80g 송진실납 납땜공구 인두기 납땜기 흠입기 납걸이 납거치대</t>
    <phoneticPr fontId="2" type="noConversion"/>
  </si>
  <si>
    <t>쿠팡</t>
    <phoneticPr fontId="2" type="noConversion"/>
  </si>
  <si>
    <t>https://www.coupang.com/vp/products/5579445296?itemId=8912848235&amp;vendorItemId=82545624156&amp;q=%EA%B5%AC%EB%A3%A1%EB%B9%84%EC%B2%A0+%EB%82%A9&amp;searchId=dcff5b916183706&amp;sourceType=search&amp;itemsCount=36&amp;searchRank=3&amp;rank=3&amp;traceId=mtpe6ifr</t>
    <phoneticPr fontId="2" type="noConversion"/>
  </si>
  <si>
    <t>https://www.coupang.com/vp/products/8865510716?itemId=26726287945&amp;vendorItemId=93931304640&amp;q=%EC%A0%84%EA%B8%B0%ED%85%8C%EC%9D%B4%ED%94%84&amp;searchId=f17d486e5475949&amp;sourceType=search&amp;itemsCount=36&amp;searchRank=19&amp;rank=19&amp;traceId=mtwb12zp</t>
    <phoneticPr fontId="2" type="noConversion"/>
  </si>
  <si>
    <t>URL 비고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</si>
</sst>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/>
    </xf>
    <xf numFmtId="0" fontId="1" fillId="0" borderId="0" xfId="1">
      <alignment vertical="center"/>
    </xf>
    <xf numFmtId="9" fontId="0" fillId="0" borderId="1" xfId="0" applyNumberFormat="1" applyBorder="1" applyAlignment="1">
      <alignment horizontal="right" vertical="center" wrapText="1"/>
    </xf>
    <xf numFmtId="176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pang.com/vp/products/5579445296" TargetMode="External"/><Relationship Id="rId2" Type="http://schemas.openxmlformats.org/officeDocument/2006/relationships/hyperlink" Target="https://www.devicemart.co.kr/goods/view?no=14021609" TargetMode="External"/><Relationship Id="rId1" Type="http://schemas.openxmlformats.org/officeDocument/2006/relationships/hyperlink" Target="https://www.coupang.com/vp/products/8865510716?itemId=26726287945&amp;vendorItemId=93931304640&amp;q=%EC%A0%84%EA%B8%B0%ED%85%8C%EC%9D%B4%ED%94%84&amp;searchId=f17d486e5475949&amp;sourceType=search&amp;itemsCount=36&amp;searchRank=19&amp;rank=19&amp;traceId=mtwb12zp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coupang.com/vp/products/5579445296?itemId=8912848235&amp;vendorItemId=82545624156&amp;q=%EA%B5%AC%EB%A3%A1%EB%B9%84%EC%B2%A0+%EB%82%A9&amp;searchId=dcff5b916183706&amp;sourceType=search&amp;itemsCount=36&amp;searchRank=3&amp;rank=3&amp;traceId=mtpe6ifr" TargetMode="External"/><Relationship Id="rId4" Type="http://schemas.openxmlformats.org/officeDocument/2006/relationships/hyperlink" Target="https://www.coupang.com/vp/products/8865510716?itemId=26726287945&amp;vendorItemId=93931304640&amp;q=%EC%A0%84%EA%B8%B0%ED%85%8C%EC%9D%B4%ED%94%84&amp;searchId=f17d486e5475949&amp;sourceType=search&amp;itemsCount=36&amp;searchRank=19&amp;rank=19&amp;traceId=mtwb12z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E2FF-2F77-45F6-9449-0EE0A9EC8FD3}">
  <dimension ref="A1:I6"/>
  <sheetViews>
    <sheetView tabSelected="1" zoomScaleNormal="100" workbookViewId="0">
      <selection activeCell="B9" sqref="B9"/>
    </sheetView>
  </sheetViews>
  <sheetFormatPr defaultRowHeight="17" x14ac:dyDescent="0.45"/>
  <cols>
    <col min="1" max="1" width="6.33203125" customWidth="1"/>
    <col min="2" max="2" width="72.25" customWidth="1"/>
    <col min="7" max="7" width="9" customWidth="1"/>
    <col min="8" max="8" width="16.4140625" customWidth="1"/>
    <col min="9" max="9" width="80.9140625" customWidth="1"/>
  </cols>
  <sheetData>
    <row r="1" spans="1:9" ht="38.25" customHeight="1" x14ac:dyDescent="0.45">
      <c r="A1" s="13" t="s">
        <v>9</v>
      </c>
      <c r="B1" s="14"/>
      <c r="C1" s="14"/>
      <c r="D1" s="14"/>
      <c r="E1" s="14"/>
      <c r="F1" s="14"/>
      <c r="G1" s="14"/>
      <c r="H1" s="14"/>
    </row>
    <row r="2" spans="1:9" ht="16.899999999999999" customHeight="1" x14ac:dyDescent="0.45">
      <c r="A2" s="4" t="s">
        <v>7</v>
      </c>
      <c r="B2" s="4" t="s">
        <v>0</v>
      </c>
      <c r="C2" s="4" t="s">
        <v>1</v>
      </c>
      <c r="D2" s="4" t="s">
        <v>8</v>
      </c>
      <c r="E2" s="4" t="s">
        <v>5</v>
      </c>
      <c r="F2" s="4" t="s">
        <v>6</v>
      </c>
      <c r="G2" s="4" t="s">
        <v>2</v>
      </c>
      <c r="H2" s="4" t="s">
        <v>4</v>
      </c>
      <c r="I2" s="4" t="s">
        <v>18</v>
      </c>
    </row>
    <row r="3" spans="1:9" ht="16.899999999999999" customHeight="1" x14ac:dyDescent="0.45">
      <c r="A3" s="1">
        <v>2</v>
      </c>
      <c r="B3" s="8" t="s">
        <v>12</v>
      </c>
      <c r="C3" s="1">
        <v>1</v>
      </c>
      <c r="D3" s="5">
        <v>3130</v>
      </c>
      <c r="E3" s="9"/>
      <c r="F3" s="10">
        <v>0</v>
      </c>
      <c r="G3" s="5">
        <f t="shared" ref="G3:G5" si="0">C3*D3*(E3+1)+F3</f>
        <v>3130</v>
      </c>
      <c r="H3" s="1" t="s">
        <v>11</v>
      </c>
      <c r="I3" s="12" t="s">
        <v>17</v>
      </c>
    </row>
    <row r="4" spans="1:9" ht="16.899999999999999" customHeight="1" x14ac:dyDescent="0.45">
      <c r="A4" s="1">
        <v>3</v>
      </c>
      <c r="B4" s="3" t="s">
        <v>13</v>
      </c>
      <c r="C4" s="1">
        <v>2</v>
      </c>
      <c r="D4" s="5">
        <v>7200</v>
      </c>
      <c r="E4" s="9">
        <v>0.1</v>
      </c>
      <c r="F4" s="10">
        <v>0</v>
      </c>
      <c r="G4" s="5">
        <f t="shared" si="0"/>
        <v>15840.000000000002</v>
      </c>
      <c r="H4" s="1" t="s">
        <v>10</v>
      </c>
      <c r="I4" s="1"/>
    </row>
    <row r="5" spans="1:9" ht="16.899999999999999" customHeight="1" x14ac:dyDescent="0.45">
      <c r="A5" s="1">
        <v>4</v>
      </c>
      <c r="B5" s="8" t="s">
        <v>14</v>
      </c>
      <c r="C5" s="1">
        <v>2</v>
      </c>
      <c r="D5" s="5">
        <v>14400</v>
      </c>
      <c r="E5" s="9"/>
      <c r="F5" s="10">
        <v>3000</v>
      </c>
      <c r="G5" s="5">
        <f t="shared" si="0"/>
        <v>31800</v>
      </c>
      <c r="H5" s="1" t="s">
        <v>15</v>
      </c>
      <c r="I5" s="12" t="s">
        <v>16</v>
      </c>
    </row>
    <row r="6" spans="1:9" ht="16.899999999999999" customHeight="1" x14ac:dyDescent="0.45">
      <c r="A6" s="15" t="s">
        <v>3</v>
      </c>
      <c r="B6" s="15"/>
      <c r="C6" s="2">
        <f>SUM(C3:C5)</f>
        <v>5</v>
      </c>
      <c r="D6" s="6">
        <f>SUM(D3:D5)</f>
        <v>24730</v>
      </c>
      <c r="E6" s="6"/>
      <c r="F6" s="6"/>
      <c r="G6" s="7">
        <f>SUM(G3:G5)</f>
        <v>50770</v>
      </c>
      <c r="H6" s="2"/>
      <c r="I6" s="11"/>
    </row>
  </sheetData>
  <mergeCells count="2">
    <mergeCell ref="A1:H1"/>
    <mergeCell ref="A6:B6"/>
  </mergeCells>
  <phoneticPr fontId="2" type="noConversion"/>
  <hyperlinks>
    <hyperlink ref="B3" r:id="rId1" xr:uid="{2786B395-93E2-4802-9CAD-A8F60CE76276}"/>
    <hyperlink ref="B4" r:id="rId2" xr:uid="{2C7E6540-AC82-469C-B786-A9A76101A3B0}"/>
    <hyperlink ref="B5" r:id="rId3" xr:uid="{3E46F3AD-5ACF-402F-8119-F79C0A31144A}"/>
    <hyperlink ref="I3" r:id="rId4" xr:uid="{CD856DD5-E8F3-46B9-B590-BA619A16083D}"/>
    <hyperlink ref="I5" r:id="rId5" xr:uid="{091640F7-F57B-4FC3-BBD2-31DE7E2A7304}"/>
  </hyperlinks>
  <pageMargins left="0.7" right="0.7" top="0.75" bottom="0.75" header="0.3" footer="0.3"/>
  <pageSetup paperSize="8"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정창완</cp:lastModifiedBy>
  <cp:lastPrinted>2026-03-18T08:37:18Z</cp:lastPrinted>
  <dcterms:created xsi:type="dcterms:W3CDTF">2026-03-14T08:24:42Z</dcterms:created>
  <dcterms:modified xsi:type="dcterms:W3CDTF">2026-09-11T05:52:08Z</dcterms:modified>
</cp:coreProperties>
</file>